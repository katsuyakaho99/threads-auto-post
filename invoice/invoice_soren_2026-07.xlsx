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26"/>
    </font>
    <font>
      <name val="Arial"/>
      <b val="1"/>
      <color rgb="00000000"/>
      <sz val="15"/>
    </font>
    <font>
      <name val="Arial"/>
      <color rgb="00000000"/>
      <sz val="10"/>
    </font>
    <font>
      <name val="Arial"/>
      <color rgb="00404040"/>
      <sz val="9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b val="1"/>
      <color rgb="00000000"/>
      <sz val="12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1F3864"/>
      <sz val="11"/>
    </font>
    <font>
      <name val="Arial"/>
      <b val="1"/>
      <color rgb="00000000"/>
      <sz val="11"/>
    </font>
    <font>
      <name val="Arial"/>
      <b val="1"/>
      <color rgb="001F3864"/>
      <sz val="16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EFF7"/>
      </patternFill>
    </fill>
  </fills>
  <borders count="5">
    <border>
      <left/>
      <right/>
      <top/>
      <bottom/>
      <diagonal/>
    </border>
    <border>
      <bottom style="medium">
        <color rgb="001F3864"/>
      </bottom>
    </border>
    <border>
      <bottom style="thin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1F38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164" fontId="12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top" wrapText="1"/>
    </xf>
    <xf numFmtId="0" fontId="8" fillId="2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  <xf numFmtId="3" fontId="3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164" fontId="9" fillId="0" borderId="3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center"/>
    </xf>
    <xf numFmtId="164" fontId="11" fillId="3" borderId="3" applyAlignment="1" pivotButton="0" quotePrefix="0" xfId="0">
      <alignment horizontal="right" vertical="center"/>
    </xf>
    <xf numFmtId="0" fontId="10" fillId="0" borderId="4" applyAlignment="1" pivotButton="0" quotePrefix="0" xfId="0">
      <alignment horizontal="left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7" customWidth="1" min="3" max="3"/>
    <col width="14" customWidth="1" min="4" max="4"/>
    <col width="16" customWidth="1" min="5" max="5"/>
  </cols>
  <sheetData>
    <row r="1" ht="8" customHeight="1"/>
    <row r="2" ht="40" customHeight="1">
      <c r="A2" s="1" t="inlineStr">
        <is>
          <t>請求書</t>
        </is>
      </c>
    </row>
    <row r="3" ht="4" customHeight="1">
      <c r="A3" s="2" t="n"/>
      <c r="B3" s="2" t="n"/>
      <c r="C3" s="2" t="n"/>
      <c r="D3" s="2" t="n"/>
      <c r="E3" s="2" t="n"/>
    </row>
    <row r="5">
      <c r="A5" s="3" t="inlineStr">
        <is>
          <t>株式会社蒼蓮　御中</t>
        </is>
      </c>
      <c r="B5" s="4" t="n"/>
      <c r="C5" s="4" t="n"/>
      <c r="D5" s="5" t="inlineStr">
        <is>
          <t>請求日</t>
        </is>
      </c>
      <c r="E5" s="6" t="inlineStr">
        <is>
          <t>2026/07/31</t>
        </is>
      </c>
    </row>
    <row r="6">
      <c r="A6" s="7" t="inlineStr">
        <is>
          <t>ご担当：小笹彩加 様</t>
        </is>
      </c>
      <c r="D6" s="5" t="inlineStr">
        <is>
          <t>請求書番号</t>
        </is>
      </c>
      <c r="E6" s="6" t="inlineStr">
        <is>
          <t>2026-07</t>
        </is>
      </c>
    </row>
    <row r="7">
      <c r="A7" s="8" t="inlineStr">
        <is>
          <t>〒542-0012 大阪市中央区谷町6丁目3番25号 LOK09号</t>
        </is>
      </c>
      <c r="D7" s="5" t="inlineStr">
        <is>
          <t>支払期限</t>
        </is>
      </c>
      <c r="E7" s="6" t="inlineStr"/>
    </row>
    <row r="9" ht="30" customHeight="1">
      <c r="A9" s="9" t="inlineStr">
        <is>
          <t>ご請求金額（税込）</t>
        </is>
      </c>
      <c r="C9" s="10">
        <f>E25</f>
        <v/>
      </c>
    </row>
    <row r="10">
      <c r="A10" s="7" t="inlineStr">
        <is>
          <t>下記のとおりご請求申し上げます。</t>
        </is>
      </c>
      <c r="D10" s="11" t="inlineStr">
        <is>
          <t>勝矢 夏帆</t>
        </is>
      </c>
    </row>
    <row r="11">
      <c r="D11" s="12" t="inlineStr">
        <is>
          <t>〒550-0003 大阪府大阪市西区京町堀2-9-18
ジュネーゼ京町堀パークサイド601</t>
        </is>
      </c>
    </row>
    <row r="12"/>
    <row r="14" ht="22" customHeight="1">
      <c r="A14" s="13" t="inlineStr">
        <is>
          <t>No.</t>
        </is>
      </c>
      <c r="B14" s="13" t="inlineStr">
        <is>
          <t>品目</t>
        </is>
      </c>
      <c r="C14" s="13" t="inlineStr">
        <is>
          <t>数量</t>
        </is>
      </c>
      <c r="D14" s="13" t="inlineStr">
        <is>
          <t>単価</t>
        </is>
      </c>
      <c r="E14" s="13" t="inlineStr">
        <is>
          <t>金額</t>
        </is>
      </c>
    </row>
    <row r="15" ht="26" customHeight="1">
      <c r="A15" s="14" t="n">
        <v>1</v>
      </c>
      <c r="B15" s="15" t="inlineStr">
        <is>
          <t>7/22 Westin横浜 対面ミーティング</t>
        </is>
      </c>
      <c r="C15" s="16" t="n">
        <v>1</v>
      </c>
      <c r="D15" s="17" t="n">
        <v>5000</v>
      </c>
      <c r="E15" s="17">
        <f>C15*D15</f>
        <v/>
      </c>
    </row>
    <row r="16" ht="26" customHeight="1">
      <c r="A16" s="14" t="n">
        <v>2</v>
      </c>
      <c r="B16" s="15" t="inlineStr">
        <is>
          <t>7/22 交通費（新幹線 新大阪→新横浜）</t>
        </is>
      </c>
      <c r="C16" s="16" t="n">
        <v>1</v>
      </c>
      <c r="D16" s="17" t="n">
        <v>14190</v>
      </c>
      <c r="E16" s="17">
        <f>C16*D16</f>
        <v/>
      </c>
    </row>
    <row r="17" ht="26" customHeight="1">
      <c r="A17" s="14" t="n">
        <v>3</v>
      </c>
      <c r="B17" s="15" t="inlineStr">
        <is>
          <t>7/22 交通費（現地移動 PASMO）</t>
        </is>
      </c>
      <c r="C17" s="16" t="n">
        <v>1</v>
      </c>
      <c r="D17" s="17" t="n">
        <v>708</v>
      </c>
      <c r="E17" s="17">
        <f>C17*D17</f>
        <v/>
      </c>
    </row>
    <row r="18" ht="26" customHeight="1">
      <c r="A18" s="14" t="n">
        <v>4</v>
      </c>
      <c r="B18" s="15" t="inlineStr">
        <is>
          <t>7/23 Six Senses Kyoto 交通費（新幹線 新横浜→京都）</t>
        </is>
      </c>
      <c r="C18" s="16" t="n">
        <v>1</v>
      </c>
      <c r="D18" s="17" t="n">
        <v>13300</v>
      </c>
      <c r="E18" s="17">
        <f>C18*D18</f>
        <v/>
      </c>
    </row>
    <row r="19" ht="26" customHeight="1">
      <c r="A19" s="14" t="n">
        <v>5</v>
      </c>
      <c r="B19" s="15" t="inlineStr">
        <is>
          <t>7/23 交通費（現地移動 PASMO）</t>
        </is>
      </c>
      <c r="C19" s="16" t="n">
        <v>1</v>
      </c>
      <c r="D19" s="17" t="n">
        <v>1348</v>
      </c>
      <c r="E19" s="17">
        <f>C19*D19</f>
        <v/>
      </c>
    </row>
    <row r="20" ht="22" customHeight="1">
      <c r="A20" s="14" t="n"/>
      <c r="B20" s="18" t="n"/>
      <c r="C20" s="18" t="n"/>
      <c r="D20" s="18" t="n"/>
      <c r="E20" s="18" t="n"/>
    </row>
    <row r="21" ht="22" customHeight="1">
      <c r="A21" s="14" t="n"/>
      <c r="B21" s="18" t="n"/>
      <c r="C21" s="18" t="n"/>
      <c r="D21" s="18" t="n"/>
      <c r="E21" s="18" t="n"/>
    </row>
    <row r="22" ht="22" customHeight="1">
      <c r="A22" s="14" t="n"/>
      <c r="B22" s="18" t="n"/>
      <c r="C22" s="18" t="n"/>
      <c r="D22" s="18" t="n"/>
      <c r="E22" s="18" t="n"/>
    </row>
    <row r="23">
      <c r="C23" s="19" t="inlineStr">
        <is>
          <t>小計</t>
        </is>
      </c>
      <c r="E23" s="20">
        <f>SUM(E15:E22)</f>
        <v/>
      </c>
    </row>
    <row r="24">
      <c r="C24" s="19" t="inlineStr">
        <is>
          <t>調整額（インボイス経過措置 8%）</t>
        </is>
      </c>
      <c r="E24" s="20">
        <f>ROUND(E23*0.08,0)</f>
        <v/>
      </c>
    </row>
    <row r="25" ht="26" customHeight="1">
      <c r="C25" s="21" t="inlineStr">
        <is>
          <t>合計（税込）</t>
        </is>
      </c>
      <c r="E25" s="22">
        <f>E23+E24</f>
        <v/>
      </c>
    </row>
    <row r="27">
      <c r="A27" s="23" t="inlineStr">
        <is>
          <t>お振込先</t>
        </is>
      </c>
      <c r="B27" s="24" t="n"/>
      <c r="C27" s="24" t="n"/>
      <c r="D27" s="24" t="n"/>
      <c r="E27" s="24" t="n"/>
    </row>
    <row r="28">
      <c r="A28" s="7" t="inlineStr">
        <is>
          <t>三井住友銀行　姫路支店</t>
        </is>
      </c>
    </row>
    <row r="29">
      <c r="A29" s="7" t="inlineStr">
        <is>
          <t>普通　9554406</t>
        </is>
      </c>
    </row>
    <row r="30">
      <c r="A30" s="7" t="inlineStr">
        <is>
          <t>口座名義：勝矢 夏帆（カツヤ カホ）</t>
        </is>
      </c>
    </row>
  </sheetData>
  <mergeCells count="13">
    <mergeCell ref="A28:C28"/>
    <mergeCell ref="D10:E10"/>
    <mergeCell ref="C24:D24"/>
    <mergeCell ref="A2:E2"/>
    <mergeCell ref="A5:C5"/>
    <mergeCell ref="C25:D25"/>
    <mergeCell ref="D11:E12"/>
    <mergeCell ref="C9:E9"/>
    <mergeCell ref="A30:C30"/>
    <mergeCell ref="A9:B9"/>
    <mergeCell ref="A7:C7"/>
    <mergeCell ref="C23:D23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2026-08-11T04:57:34Z</dcterms:created>
  <dcterms:modified xsi:type="dcterms:W3CDTF">2026-08-11T04:57:34Z</dcterms:modified>
</cp:coreProperties>
</file>
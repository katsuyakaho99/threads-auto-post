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請求書"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quot;¥&quot;#,##0"/>
  </numFmts>
  <fonts count="14">
    <font>
      <name val="Calibri"/>
      <family val="2"/>
      <color theme="1"/>
      <sz val="11"/>
      <scheme val="minor"/>
    </font>
    <font>
      <name val="Arial"/>
      <b val="1"/>
      <color rgb="00203864"/>
      <sz val="26"/>
    </font>
    <font>
      <name val="Arial"/>
      <color rgb="007F7F7F"/>
      <sz val="9"/>
    </font>
    <font>
      <name val="Arial"/>
      <b val="1"/>
      <color rgb="00000000"/>
      <sz val="10"/>
    </font>
    <font>
      <name val="Arial"/>
      <color rgb="00000000"/>
      <sz val="10"/>
    </font>
    <font>
      <name val="Arial"/>
      <b val="1"/>
      <color rgb="00203864"/>
      <sz val="11"/>
    </font>
    <font>
      <name val="Arial"/>
      <b val="1"/>
      <color rgb="00000000"/>
      <sz val="13"/>
    </font>
    <font>
      <name val="Arial"/>
      <b val="1"/>
      <color rgb="00FFFFFF"/>
      <sz val="12"/>
    </font>
    <font>
      <name val="Arial"/>
      <b val="1"/>
      <color rgb="00203864"/>
      <sz val="16"/>
    </font>
    <font>
      <name val="Arial"/>
      <b val="1"/>
      <color rgb="00000000"/>
      <sz val="11"/>
    </font>
    <font>
      <name val="Arial"/>
      <color rgb="00595959"/>
      <sz val="9"/>
    </font>
    <font>
      <name val="Arial"/>
      <b val="1"/>
      <color rgb="00FFFFFF"/>
      <sz val="11"/>
    </font>
    <font>
      <name val="Arial"/>
      <color rgb="00000000"/>
      <sz val="11"/>
    </font>
    <font>
      <name val="Arial"/>
      <color rgb="00000000"/>
      <sz val="9"/>
    </font>
  </fonts>
  <fills count="5">
    <fill>
      <patternFill/>
    </fill>
    <fill>
      <patternFill patternType="gray125"/>
    </fill>
    <fill>
      <patternFill patternType="solid">
        <fgColor rgb="00FFF2CC"/>
        <bgColor rgb="00FFF2CC"/>
      </patternFill>
    </fill>
    <fill>
      <patternFill patternType="solid">
        <fgColor rgb="00203864"/>
        <bgColor rgb="00203864"/>
      </patternFill>
    </fill>
    <fill>
      <patternFill patternType="solid">
        <fgColor rgb="00EAEFF7"/>
        <bgColor rgb="00EAEFF7"/>
      </patternFill>
    </fill>
  </fills>
  <borders count="11">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
      <left style="thin">
        <color rgb="00B0B0B0"/>
      </left>
      <right/>
      <top/>
      <bottom/>
      <diagonal/>
    </border>
    <border>
      <left/>
      <right style="thin">
        <color rgb="00B0B0B0"/>
      </right>
      <top/>
      <bottom/>
      <diagonal/>
    </border>
    <border>
      <left style="thin">
        <color rgb="00B0B0B0"/>
      </left>
      <right/>
      <top/>
      <bottom style="thin">
        <color rgb="00B0B0B0"/>
      </bottom>
      <diagonal/>
    </border>
    <border>
      <left/>
      <right/>
      <top/>
      <bottom style="thin">
        <color rgb="00B0B0B0"/>
      </bottom>
      <diagonal/>
    </border>
    <border>
      <left/>
      <right style="thin">
        <color rgb="00B0B0B0"/>
      </right>
      <top/>
      <bottom style="thin">
        <color rgb="00B0B0B0"/>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5" fillId="0" borderId="0" applyAlignment="1" pivotButton="0" quotePrefix="0" xfId="0">
      <alignment horizontal="left" vertical="center"/>
    </xf>
    <xf numFmtId="0" fontId="3" fillId="0" borderId="0" applyAlignment="1" pivotButton="0" quotePrefix="0" xfId="0">
      <alignment horizontal="right" vertical="center"/>
    </xf>
    <xf numFmtId="0" fontId="4" fillId="2" borderId="1" applyAlignment="1" pivotButton="0" quotePrefix="0" xfId="0">
      <alignment horizontal="center" vertical="center"/>
    </xf>
    <xf numFmtId="0" fontId="6" fillId="2" borderId="1" applyAlignment="1" pivotButton="0" quotePrefix="0" xfId="0">
      <alignment horizontal="left" vertical="center"/>
    </xf>
    <xf numFmtId="0" fontId="0" fillId="0" borderId="4" pivotButton="0" quotePrefix="0" xfId="0"/>
    <xf numFmtId="0" fontId="0" fillId="0" borderId="5" pivotButton="0" quotePrefix="0" xfId="0"/>
    <xf numFmtId="164" fontId="4" fillId="2" borderId="1" applyAlignment="1" pivotButton="0" quotePrefix="0" xfId="0">
      <alignment horizontal="center" vertical="center"/>
    </xf>
    <xf numFmtId="0" fontId="4" fillId="2" borderId="1" applyAlignment="1" pivotButton="0" quotePrefix="0" xfId="0">
      <alignment horizontal="left" vertical="center"/>
    </xf>
    <xf numFmtId="0" fontId="7" fillId="3" borderId="0" applyAlignment="1" pivotButton="0" quotePrefix="0" xfId="0">
      <alignment horizontal="center" vertical="center"/>
    </xf>
    <xf numFmtId="165" fontId="8" fillId="4" borderId="0" applyAlignment="1" pivotButton="0" quotePrefix="0" xfId="0">
      <alignment horizontal="center" vertical="center"/>
    </xf>
    <xf numFmtId="0" fontId="9" fillId="2" borderId="1" applyAlignment="1" pivotButton="0" quotePrefix="0" xfId="0">
      <alignment horizontal="left" vertical="center"/>
    </xf>
    <xf numFmtId="0" fontId="10" fillId="2" borderId="1" applyAlignment="1" pivotButton="0" quotePrefix="0" xfId="0">
      <alignment horizontal="left" vertical="center"/>
    </xf>
    <xf numFmtId="0" fontId="11" fillId="3" borderId="1" applyAlignment="1" pivotButton="0" quotePrefix="0" xfId="0">
      <alignment horizontal="center" vertical="center"/>
    </xf>
    <xf numFmtId="0" fontId="4" fillId="0" borderId="1" applyAlignment="1" pivotButton="0" quotePrefix="0" xfId="0">
      <alignment horizontal="center" vertical="center"/>
    </xf>
    <xf numFmtId="3" fontId="4" fillId="2" borderId="1" applyAlignment="1" pivotButton="0" quotePrefix="0" xfId="0">
      <alignment horizontal="center" vertical="center"/>
    </xf>
    <xf numFmtId="165" fontId="4" fillId="2" borderId="1" applyAlignment="1" pivotButton="0" quotePrefix="0" xfId="0">
      <alignment horizontal="right" vertical="center"/>
    </xf>
    <xf numFmtId="165" fontId="4" fillId="0" borderId="1" applyAlignment="1" pivotButton="0" quotePrefix="0" xfId="0">
      <alignment horizontal="right" vertical="center"/>
    </xf>
    <xf numFmtId="0" fontId="12" fillId="0" borderId="0" applyAlignment="1" pivotButton="0" quotePrefix="0" xfId="0">
      <alignment horizontal="right" vertical="center"/>
    </xf>
    <xf numFmtId="165" fontId="12" fillId="0" borderId="1" applyAlignment="1" pivotButton="0" quotePrefix="0" xfId="0">
      <alignment horizontal="right" vertical="center"/>
    </xf>
    <xf numFmtId="9" fontId="12" fillId="2" borderId="1" applyAlignment="1" pivotButton="0" quotePrefix="0" xfId="0">
      <alignment horizontal="right" vertical="center"/>
    </xf>
    <xf numFmtId="165" fontId="12" fillId="2" borderId="1" applyAlignment="1" pivotButton="0" quotePrefix="0" xfId="0">
      <alignment horizontal="right" vertical="center"/>
    </xf>
    <xf numFmtId="0" fontId="5" fillId="0" borderId="0" applyAlignment="1" pivotButton="0" quotePrefix="0" xfId="0">
      <alignment horizontal="right" vertical="center"/>
    </xf>
    <xf numFmtId="165" fontId="9" fillId="4" borderId="1" applyAlignment="1" pivotButton="0" quotePrefix="0" xfId="0">
      <alignment horizontal="right" vertical="center"/>
    </xf>
    <xf numFmtId="0" fontId="4" fillId="2" borderId="1" applyAlignment="1" pivotButton="0" quotePrefix="0" xfId="0">
      <alignment horizontal="left" vertical="top" wrapText="1"/>
    </xf>
    <xf numFmtId="0" fontId="13" fillId="2" borderId="1" applyAlignment="1" pivotButton="0" quotePrefix="0" xfId="0">
      <alignment horizontal="left" vertical="center" wrapText="1"/>
    </xf>
    <xf numFmtId="0" fontId="13" fillId="2" borderId="1" applyAlignment="1" pivotButton="0" quotePrefix="0" xfId="0">
      <alignment horizontal="lef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showGridLines="0" workbookViewId="0">
      <selection activeCell="A1" sqref="A1"/>
    </sheetView>
  </sheetViews>
  <sheetFormatPr baseColWidth="8" defaultRowHeight="15"/>
  <cols>
    <col width="5" customWidth="1" min="1" max="1"/>
    <col width="30" customWidth="1" min="2" max="2"/>
    <col width="12" customWidth="1" min="3" max="3"/>
    <col width="14" customWidth="1" min="4" max="4"/>
    <col width="16" customWidth="1" min="5" max="5"/>
    <col width="3" customWidth="1" min="6" max="6"/>
  </cols>
  <sheetData>
    <row r="1" ht="40" customHeight="1">
      <c r="A1" s="1" t="inlineStr">
        <is>
          <t>請求書</t>
        </is>
      </c>
    </row>
    <row r="2">
      <c r="A2" s="2" t="inlineStr">
        <is>
          <t>※ 黄色のセルにご入力ください。金額・小計・消費税・合計は自動計算されます。</t>
        </is>
      </c>
    </row>
    <row r="4">
      <c r="A4" s="3" t="inlineStr">
        <is>
          <t>請求先</t>
        </is>
      </c>
      <c r="D4" s="4" t="inlineStr">
        <is>
          <t>請求書番号</t>
        </is>
      </c>
      <c r="E4" s="5" t="inlineStr">
        <is>
          <t>2026-08</t>
        </is>
      </c>
    </row>
    <row r="5">
      <c r="A5" s="6" t="inlineStr">
        <is>
          <t>株式会社蒼蓮　御中</t>
        </is>
      </c>
      <c r="B5" s="7" t="n"/>
      <c r="C5" s="8" t="n"/>
      <c r="D5" s="4" t="inlineStr">
        <is>
          <t>請求日</t>
        </is>
      </c>
      <c r="E5" s="9" t="inlineStr">
        <is>
          <t>2026/08/11</t>
        </is>
      </c>
    </row>
    <row r="6">
      <c r="A6" s="2" t="inlineStr">
        <is>
          <t>ご担当：小笹彩加 様</t>
        </is>
      </c>
      <c r="D6" s="4" t="inlineStr">
        <is>
          <t>支払期限</t>
        </is>
      </c>
      <c r="E6" s="9" t="inlineStr"/>
    </row>
    <row r="7">
      <c r="A7" s="10" t="inlineStr">
        <is>
          <t>〒542-0012 大阪市中央区谷町6丁目3番25号 LOK09号</t>
        </is>
      </c>
      <c r="B7" s="7" t="n"/>
      <c r="C7" s="8" t="n"/>
    </row>
    <row r="9" ht="28" customHeight="1">
      <c r="A9" s="11" t="inlineStr">
        <is>
          <t>ご請求金額（税込）</t>
        </is>
      </c>
      <c r="D9" s="12">
        <f>E30</f>
        <v/>
      </c>
    </row>
    <row r="11">
      <c r="A11" s="3" t="inlineStr">
        <is>
          <t>発行者</t>
        </is>
      </c>
    </row>
    <row r="12">
      <c r="A12" s="13" t="inlineStr">
        <is>
          <t>勝矢 夏帆</t>
        </is>
      </c>
      <c r="B12" s="7" t="n"/>
      <c r="C12" s="7" t="n"/>
      <c r="D12" s="7" t="n"/>
      <c r="E12" s="8" t="n"/>
    </row>
    <row r="13">
      <c r="A13" s="14" t="inlineStr">
        <is>
          <t>〒550-0003 大阪府大阪市西区京町堀2-9-18 ジュネーゼ京町堀パークサイド601</t>
        </is>
      </c>
      <c r="B13" s="7" t="n"/>
      <c r="C13" s="7" t="n"/>
      <c r="D13" s="7" t="n"/>
      <c r="E13" s="8" t="n"/>
    </row>
    <row r="14">
      <c r="A14" s="14" t="inlineStr">
        <is>
          <t>TEL / Email（任意・必要に応じてご記入）</t>
        </is>
      </c>
      <c r="B14" s="7" t="n"/>
      <c r="C14" s="7" t="n"/>
      <c r="D14" s="7" t="n"/>
      <c r="E14" s="8" t="n"/>
    </row>
    <row r="15">
      <c r="A15" s="14" t="inlineStr">
        <is>
          <t>※適格請求書発行事業者 未登録（インボイス経過措置により調整額8%で計上）</t>
        </is>
      </c>
      <c r="B15" s="7" t="n"/>
      <c r="C15" s="7" t="n"/>
      <c r="D15" s="7" t="n"/>
      <c r="E15" s="8" t="n"/>
    </row>
    <row r="17" ht="22" customHeight="1">
      <c r="A17" s="15" t="inlineStr">
        <is>
          <t>No.</t>
        </is>
      </c>
      <c r="B17" s="15" t="inlineStr">
        <is>
          <t>品目・摘要</t>
        </is>
      </c>
      <c r="C17" s="15" t="inlineStr">
        <is>
          <t>数量</t>
        </is>
      </c>
      <c r="D17" s="15" t="inlineStr">
        <is>
          <t>単価</t>
        </is>
      </c>
      <c r="E17" s="15" t="inlineStr">
        <is>
          <t>金額</t>
        </is>
      </c>
    </row>
    <row r="18" ht="28" customHeight="1">
      <c r="A18" s="16" t="n">
        <v>1</v>
      </c>
      <c r="B18" s="27" t="inlineStr">
        <is>
          <t>8/4 Aloft（報酬）</t>
        </is>
      </c>
      <c r="C18" s="17" t="n">
        <v>1</v>
      </c>
      <c r="D18" s="18" t="n">
        <v>60000</v>
      </c>
      <c r="E18" s="19">
        <f>IF(AND(C18&lt;&gt;"",D18&lt;&gt;""),C18*D18,"")</f>
        <v/>
      </c>
    </row>
    <row r="19" ht="28" customHeight="1">
      <c r="A19" s="16" t="n">
        <v>2</v>
      </c>
      <c r="B19" s="27" t="inlineStr">
        <is>
          <t>8/4 交通費 バス（土佐堀2丁目→堂島）※8月以降は事務所発の交通費を含む</t>
        </is>
      </c>
      <c r="C19" s="17" t="n">
        <v>1</v>
      </c>
      <c r="D19" s="18" t="n">
        <v>210</v>
      </c>
      <c r="E19" s="19">
        <f>IF(AND(C19&lt;&gt;"",D19&lt;&gt;""),C19*D19,"")</f>
        <v/>
      </c>
    </row>
    <row r="20" ht="20" customHeight="1">
      <c r="A20" s="16" t="n">
        <v>3</v>
      </c>
      <c r="B20" s="10" t="n"/>
      <c r="C20" s="17" t="n"/>
      <c r="D20" s="18" t="n"/>
      <c r="E20" s="19">
        <f>IF(AND(C20&lt;&gt;"",D20&lt;&gt;""),C20*D20,"")</f>
        <v/>
      </c>
    </row>
    <row r="21" ht="20" customHeight="1">
      <c r="A21" s="16" t="n">
        <v>4</v>
      </c>
      <c r="B21" s="10" t="n"/>
      <c r="C21" s="17" t="n"/>
      <c r="D21" s="18" t="n"/>
      <c r="E21" s="19">
        <f>IF(AND(C21&lt;&gt;"",D21&lt;&gt;""),C21*D21,"")</f>
        <v/>
      </c>
    </row>
    <row r="22" ht="20" customHeight="1">
      <c r="A22" s="16" t="n">
        <v>5</v>
      </c>
      <c r="B22" s="10" t="n"/>
      <c r="C22" s="17" t="n"/>
      <c r="D22" s="18" t="n"/>
      <c r="E22" s="19">
        <f>IF(AND(C22&lt;&gt;"",D22&lt;&gt;""),C22*D22,"")</f>
        <v/>
      </c>
    </row>
    <row r="23" ht="20" customHeight="1">
      <c r="A23" s="16" t="n">
        <v>6</v>
      </c>
      <c r="B23" s="10" t="n"/>
      <c r="C23" s="17" t="n"/>
      <c r="D23" s="18" t="n"/>
      <c r="E23" s="19">
        <f>IF(AND(C23&lt;&gt;"",D23&lt;&gt;""),C23*D23,"")</f>
        <v/>
      </c>
    </row>
    <row r="24" ht="20" customHeight="1">
      <c r="A24" s="16" t="n">
        <v>7</v>
      </c>
      <c r="B24" s="10" t="n"/>
      <c r="C24" s="17" t="n"/>
      <c r="D24" s="18" t="n"/>
      <c r="E24" s="19">
        <f>IF(AND(C24&lt;&gt;"",D24&lt;&gt;""),C24*D24,"")</f>
        <v/>
      </c>
    </row>
    <row r="25" ht="20" customHeight="1">
      <c r="A25" s="16" t="n">
        <v>8</v>
      </c>
      <c r="B25" s="10" t="n"/>
      <c r="C25" s="17" t="n"/>
      <c r="D25" s="18" t="n"/>
      <c r="E25" s="19">
        <f>IF(AND(C25&lt;&gt;"",D25&lt;&gt;""),C25*D25,"")</f>
        <v/>
      </c>
    </row>
    <row r="26">
      <c r="C26" s="20" t="inlineStr">
        <is>
          <t>小計</t>
        </is>
      </c>
      <c r="E26" s="21">
        <f>SUM(E18:E25)</f>
        <v/>
      </c>
    </row>
    <row r="27">
      <c r="C27" s="20" t="inlineStr">
        <is>
          <t>調整額率（経過措置80%）</t>
        </is>
      </c>
      <c r="E27" s="22" t="n">
        <v>0.08</v>
      </c>
    </row>
    <row r="28">
      <c r="C28" s="20" t="inlineStr">
        <is>
          <t>調整額（消費税相当）</t>
        </is>
      </c>
      <c r="E28" s="21">
        <f>ROUND(E26*E27,0)</f>
        <v/>
      </c>
    </row>
    <row r="29">
      <c r="C29" s="20" t="inlineStr">
        <is>
          <t>源泉徴収税額（任意）</t>
        </is>
      </c>
      <c r="E29" s="23" t="n">
        <v>0</v>
      </c>
    </row>
    <row r="30" ht="24" customHeight="1">
      <c r="C30" s="24" t="inlineStr">
        <is>
          <t>合計（税込）</t>
        </is>
      </c>
      <c r="E30" s="25">
        <f>E26+E28-E29</f>
        <v/>
      </c>
    </row>
    <row r="32">
      <c r="A32" s="3" t="inlineStr">
        <is>
          <t>お振込先</t>
        </is>
      </c>
    </row>
    <row r="33">
      <c r="A33" s="10" t="inlineStr">
        <is>
          <t>三井住友銀行　姫路支店</t>
        </is>
      </c>
      <c r="B33" s="7" t="n"/>
      <c r="C33" s="7" t="n"/>
      <c r="D33" s="7" t="n"/>
      <c r="E33" s="8" t="n"/>
    </row>
    <row r="34">
      <c r="A34" s="10" t="inlineStr">
        <is>
          <t>普通　9554406</t>
        </is>
      </c>
      <c r="B34" s="7" t="n"/>
      <c r="C34" s="7" t="n"/>
      <c r="D34" s="7" t="n"/>
      <c r="E34" s="8" t="n"/>
    </row>
    <row r="35">
      <c r="A35" s="10" t="inlineStr">
        <is>
          <t>口座名義：勝矢 夏帆（カツヤ カホ）</t>
        </is>
      </c>
      <c r="B35" s="7" t="n"/>
      <c r="C35" s="7" t="n"/>
      <c r="D35" s="7" t="n"/>
      <c r="E35" s="8" t="n"/>
    </row>
    <row r="37">
      <c r="A37" s="3" t="inlineStr">
        <is>
          <t>備考</t>
        </is>
      </c>
    </row>
    <row r="38">
      <c r="A38" s="28" t="inlineStr">
        <is>
          <t>※ インボイス制度の経過措置（80%控除）に基づき、消費税10%ではなく調整額8%（小計×8%）で計上しています。
※ 8月以降は事務所までの交通費も請求対象に含めています。
※ 源泉徴収は「なし」で計上しています。必要な場合は源泉徴収税額欄に金額を入力すると合計から差し引かれます。
※ ご提出：毎月5日までにメール（To: ayakaozasa@soren.co.jp / CC: ayakaanzo@soren.co.jp）</t>
        </is>
      </c>
      <c r="B38" s="29" t="n"/>
      <c r="C38" s="29" t="n"/>
      <c r="D38" s="29" t="n"/>
      <c r="E38" s="30" t="n"/>
    </row>
    <row r="39">
      <c r="A39" s="31" t="n"/>
      <c r="E39" s="32" t="n"/>
    </row>
    <row r="40">
      <c r="A40" s="33" t="n"/>
      <c r="B40" s="34" t="n"/>
      <c r="C40" s="34" t="n"/>
      <c r="D40" s="34" t="n"/>
      <c r="E40" s="35" t="n"/>
    </row>
  </sheetData>
  <mergeCells count="19">
    <mergeCell ref="A34:E34"/>
    <mergeCell ref="C30:D30"/>
    <mergeCell ref="A15:E15"/>
    <mergeCell ref="C26:D26"/>
    <mergeCell ref="A2:F2"/>
    <mergeCell ref="C29:D29"/>
    <mergeCell ref="A5:C5"/>
    <mergeCell ref="A12:E12"/>
    <mergeCell ref="C27:D27"/>
    <mergeCell ref="A33:E33"/>
    <mergeCell ref="A9:C9"/>
    <mergeCell ref="A14:E14"/>
    <mergeCell ref="D9:E9"/>
    <mergeCell ref="A35:E35"/>
    <mergeCell ref="A1:F1"/>
    <mergeCell ref="A38:E40"/>
    <mergeCell ref="C28:D28"/>
    <mergeCell ref="A13:E13"/>
    <mergeCell ref="A7:C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2026-08-05T10:31:12Z</dcterms:created>
  <dcterms:modified xsi:type="dcterms:W3CDTF">2026-08-11T03:43:49Z</dcterms:modified>
</cp:coreProperties>
</file>
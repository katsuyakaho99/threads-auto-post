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&quot;¥&quot;#,##0"/>
  </numFmts>
  <fonts count="14">
    <font>
      <name val="Calibri"/>
      <family val="2"/>
      <color theme="1"/>
      <sz val="11"/>
      <scheme val="minor"/>
    </font>
    <font>
      <name val="Arial"/>
      <b val="1"/>
      <color rgb="00203864"/>
      <sz val="26"/>
    </font>
    <font>
      <name val="Arial"/>
      <color rgb="007F7F7F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203864"/>
      <sz val="11"/>
    </font>
    <font>
      <name val="Arial"/>
      <b val="1"/>
      <color rgb="00000000"/>
      <sz val="13"/>
    </font>
    <font>
      <name val="Arial"/>
      <b val="1"/>
      <color rgb="00FFFFFF"/>
      <sz val="12"/>
    </font>
    <font>
      <name val="Arial"/>
      <b val="1"/>
      <color rgb="00203864"/>
      <sz val="16"/>
    </font>
    <font>
      <name val="Arial"/>
      <b val="1"/>
      <color rgb="00000000"/>
      <sz val="11"/>
    </font>
    <font>
      <name val="Arial"/>
      <color rgb="00595959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203864"/>
        <bgColor rgb="00203864"/>
      </patternFill>
    </fill>
    <fill>
      <patternFill patternType="solid">
        <fgColor rgb="00EAEFF7"/>
        <bgColor rgb="00EAEFF7"/>
      </patternFill>
    </fill>
  </fills>
  <borders count="11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 style="thin">
        <color rgb="00B0B0B0"/>
      </left>
      <right/>
      <top/>
      <bottom/>
      <diagonal/>
    </border>
    <border>
      <left/>
      <right style="thin">
        <color rgb="00B0B0B0"/>
      </right>
      <top/>
      <bottom/>
      <diagonal/>
    </border>
    <border>
      <left style="thin">
        <color rgb="00B0B0B0"/>
      </left>
      <right/>
      <top/>
      <bottom style="thin">
        <color rgb="00B0B0B0"/>
      </bottom>
      <diagonal/>
    </border>
    <border>
      <left/>
      <right/>
      <top/>
      <bottom style="thin">
        <color rgb="00B0B0B0"/>
      </bottom>
      <diagonal/>
    </border>
    <border>
      <left/>
      <right style="thin">
        <color rgb="00B0B0B0"/>
      </right>
      <top/>
      <bottom style="thin">
        <color rgb="00B0B0B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165" fontId="8" fillId="4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4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165" fontId="12" fillId="0" borderId="1" applyAlignment="1" pivotButton="0" quotePrefix="0" xfId="0">
      <alignment horizontal="right" vertical="center"/>
    </xf>
    <xf numFmtId="9" fontId="12" fillId="2" borderId="1" applyAlignment="1" pivotButton="0" quotePrefix="0" xfId="0">
      <alignment horizontal="right" vertical="center"/>
    </xf>
    <xf numFmtId="165" fontId="12" fillId="2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165" fontId="9" fillId="4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top" wrapText="1"/>
    </xf>
    <xf numFmtId="0" fontId="13" fillId="2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4" customWidth="1" min="4" max="4"/>
    <col width="16" customWidth="1" min="5" max="5"/>
    <col width="3" customWidth="1" min="6" max="6"/>
  </cols>
  <sheetData>
    <row r="1" ht="40" customHeight="1">
      <c r="A1" s="1" t="inlineStr">
        <is>
          <t>請求書</t>
        </is>
      </c>
    </row>
    <row r="2">
      <c r="A2" s="2" t="inlineStr">
        <is>
          <t>※ 黄色のセルにご入力ください。金額・小計・消費税・合計は自動計算されます。</t>
        </is>
      </c>
    </row>
    <row r="4">
      <c r="A4" s="3" t="inlineStr">
        <is>
          <t>請求先</t>
        </is>
      </c>
      <c r="D4" s="4" t="inlineStr">
        <is>
          <t>請求書番号</t>
        </is>
      </c>
      <c r="E4" s="5" t="inlineStr">
        <is>
          <t>（例）2025-07</t>
        </is>
      </c>
    </row>
    <row r="5">
      <c r="A5" s="6" t="inlineStr">
        <is>
          <t>株式会社蒼蓮　御中</t>
        </is>
      </c>
      <c r="B5" s="7" t="n"/>
      <c r="C5" s="8" t="n"/>
      <c r="D5" s="4" t="inlineStr">
        <is>
          <t>請求日</t>
        </is>
      </c>
      <c r="E5" s="9" t="inlineStr"/>
    </row>
    <row r="6">
      <c r="A6" s="2" t="inlineStr">
        <is>
          <t>ご担当：小笹彩加 様</t>
        </is>
      </c>
      <c r="D6" s="4" t="inlineStr">
        <is>
          <t>支払期限</t>
        </is>
      </c>
      <c r="E6" s="9" t="inlineStr"/>
    </row>
    <row r="7">
      <c r="A7" s="10" t="inlineStr">
        <is>
          <t>〒542-0012 大阪市中央区谷町6丁目3番25号 LOK09号</t>
        </is>
      </c>
      <c r="B7" s="7" t="n"/>
      <c r="C7" s="8" t="n"/>
    </row>
    <row r="9" ht="28" customHeight="1">
      <c r="A9" s="11" t="inlineStr">
        <is>
          <t>ご請求金額（税込）</t>
        </is>
      </c>
      <c r="D9" s="12">
        <f>E30</f>
        <v/>
      </c>
    </row>
    <row r="11">
      <c r="A11" s="3" t="inlineStr">
        <is>
          <t>発行者</t>
        </is>
      </c>
    </row>
    <row r="12">
      <c r="A12" s="13" t="inlineStr">
        <is>
          <t>（お名前 / 屋号を記入）</t>
        </is>
      </c>
      <c r="B12" s="7" t="n"/>
      <c r="C12" s="7" t="n"/>
      <c r="D12" s="7" t="n"/>
      <c r="E12" s="8" t="n"/>
    </row>
    <row r="13">
      <c r="A13" s="14" t="inlineStr">
        <is>
          <t>〒000-0000（ご住所を記入）</t>
        </is>
      </c>
      <c r="B13" s="7" t="n"/>
      <c r="C13" s="7" t="n"/>
      <c r="D13" s="7" t="n"/>
      <c r="E13" s="8" t="n"/>
    </row>
    <row r="14">
      <c r="A14" s="14" t="inlineStr">
        <is>
          <t>TEL / Email（連絡先を記入）</t>
        </is>
      </c>
      <c r="B14" s="7" t="n"/>
      <c r="C14" s="7" t="n"/>
      <c r="D14" s="7" t="n"/>
      <c r="E14" s="8" t="n"/>
    </row>
    <row r="15">
      <c r="A15" s="14" t="inlineStr">
        <is>
          <t>登録番号：（インボイス登録がある場合のみ T… を記入。未登録なら空欄）</t>
        </is>
      </c>
      <c r="B15" s="7" t="n"/>
      <c r="C15" s="7" t="n"/>
      <c r="D15" s="7" t="n"/>
      <c r="E15" s="8" t="n"/>
    </row>
    <row r="17" ht="22" customHeight="1">
      <c r="A17" s="15" t="inlineStr">
        <is>
          <t>No.</t>
        </is>
      </c>
      <c r="B17" s="15" t="inlineStr">
        <is>
          <t>品目・摘要</t>
        </is>
      </c>
      <c r="C17" s="15" t="inlineStr">
        <is>
          <t>数量</t>
        </is>
      </c>
      <c r="D17" s="15" t="inlineStr">
        <is>
          <t>単価</t>
        </is>
      </c>
      <c r="E17" s="15" t="inlineStr">
        <is>
          <t>金額</t>
        </is>
      </c>
    </row>
    <row r="18" ht="20" customHeight="1">
      <c r="A18" s="16" t="n">
        <v>1</v>
      </c>
      <c r="B18" s="10" t="inlineStr">
        <is>
          <t>7/22 Westin 対面ミーティング（報酬）</t>
        </is>
      </c>
      <c r="C18" s="17" t="n">
        <v>1</v>
      </c>
      <c r="D18" s="18" t="n">
        <v>5000</v>
      </c>
      <c r="E18" s="19">
        <f>IF(AND(C18&lt;&gt;"",D18&lt;&gt;""),C18*D18,"")</f>
        <v/>
      </c>
    </row>
    <row r="19" ht="20" customHeight="1">
      <c r="A19" s="16" t="n">
        <v>2</v>
      </c>
      <c r="B19" s="10" t="inlineStr">
        <is>
          <t>7/22 交通費（実費）</t>
        </is>
      </c>
      <c r="C19" s="17" t="n">
        <v>1</v>
      </c>
      <c r="D19" s="18" t="n"/>
      <c r="E19" s="19">
        <f>IF(AND(C19&lt;&gt;"",D19&lt;&gt;""),C19*D19,"")</f>
        <v/>
      </c>
    </row>
    <row r="20" ht="20" customHeight="1">
      <c r="A20" s="16" t="n">
        <v>3</v>
      </c>
      <c r="B20" s="10" t="inlineStr">
        <is>
          <t>7/23 Six Senses Kyoto 交通費（研修・報酬なし）</t>
        </is>
      </c>
      <c r="C20" s="17" t="n">
        <v>1</v>
      </c>
      <c r="D20" s="18" t="n"/>
      <c r="E20" s="19">
        <f>IF(AND(C20&lt;&gt;"",D20&lt;&gt;""),C20*D20,"")</f>
        <v/>
      </c>
    </row>
    <row r="21" ht="20" customHeight="1">
      <c r="A21" s="16" t="n">
        <v>4</v>
      </c>
      <c r="B21" s="10" t="inlineStr">
        <is>
          <t>8/4 Aloft（報酬）</t>
        </is>
      </c>
      <c r="C21" s="17" t="n">
        <v>1</v>
      </c>
      <c r="D21" s="18" t="n">
        <v>60000</v>
      </c>
      <c r="E21" s="19">
        <f>IF(AND(C21&lt;&gt;"",D21&lt;&gt;""),C21*D21,"")</f>
        <v/>
      </c>
    </row>
    <row r="22" ht="20" customHeight="1">
      <c r="A22" s="16" t="n">
        <v>5</v>
      </c>
      <c r="B22" s="10" t="inlineStr">
        <is>
          <t>8/4 交通費（実費）</t>
        </is>
      </c>
      <c r="C22" s="17" t="n">
        <v>1</v>
      </c>
      <c r="D22" s="18" t="n"/>
      <c r="E22" s="19">
        <f>IF(AND(C22&lt;&gt;"",D22&lt;&gt;""),C22*D22,"")</f>
        <v/>
      </c>
    </row>
    <row r="23" ht="20" customHeight="1">
      <c r="A23" s="16" t="n">
        <v>6</v>
      </c>
      <c r="B23" s="10" t="inlineStr">
        <is>
          <t>8/4 事務所までの交通費（8月以降対象）</t>
        </is>
      </c>
      <c r="C23" s="17" t="n">
        <v>1</v>
      </c>
      <c r="D23" s="18" t="n"/>
      <c r="E23" s="19">
        <f>IF(AND(C23&lt;&gt;"",D23&lt;&gt;""),C23*D23,"")</f>
        <v/>
      </c>
    </row>
    <row r="24" ht="20" customHeight="1">
      <c r="A24" s="16" t="n">
        <v>7</v>
      </c>
      <c r="B24" s="10" t="n"/>
      <c r="C24" s="17" t="n"/>
      <c r="D24" s="18" t="n"/>
      <c r="E24" s="19">
        <f>IF(AND(C24&lt;&gt;"",D24&lt;&gt;""),C24*D24,"")</f>
        <v/>
      </c>
    </row>
    <row r="25" ht="20" customHeight="1">
      <c r="A25" s="16" t="n">
        <v>8</v>
      </c>
      <c r="B25" s="10" t="n"/>
      <c r="C25" s="17" t="n"/>
      <c r="D25" s="18" t="n"/>
      <c r="E25" s="19">
        <f>IF(AND(C25&lt;&gt;"",D25&lt;&gt;""),C25*D25,"")</f>
        <v/>
      </c>
    </row>
    <row r="26">
      <c r="C26" s="20" t="inlineStr">
        <is>
          <t>小計</t>
        </is>
      </c>
      <c r="E26" s="21">
        <f>SUM(E18:E25)</f>
        <v/>
      </c>
    </row>
    <row r="27">
      <c r="C27" s="20" t="inlineStr">
        <is>
          <t>調整額率（経過措置80%）</t>
        </is>
      </c>
      <c r="E27" s="22" t="n">
        <v>0.08</v>
      </c>
    </row>
    <row r="28">
      <c r="C28" s="20" t="inlineStr">
        <is>
          <t>調整額（消費税相当）</t>
        </is>
      </c>
      <c r="E28" s="21">
        <f>ROUND(E26*E27,0)</f>
        <v/>
      </c>
    </row>
    <row r="29">
      <c r="C29" s="20" t="inlineStr">
        <is>
          <t>源泉徴収税額（任意）</t>
        </is>
      </c>
      <c r="E29" s="23" t="n">
        <v>0</v>
      </c>
    </row>
    <row r="30" ht="24" customHeight="1">
      <c r="C30" s="24" t="inlineStr">
        <is>
          <t>合計（税込）</t>
        </is>
      </c>
      <c r="E30" s="25">
        <f>E26+E28-E29</f>
        <v/>
      </c>
    </row>
    <row r="32">
      <c r="A32" s="3" t="inlineStr">
        <is>
          <t>お振込先</t>
        </is>
      </c>
    </row>
    <row r="33">
      <c r="A33" s="10" t="inlineStr">
        <is>
          <t>〇〇銀行 〇〇支店</t>
        </is>
      </c>
      <c r="B33" s="7" t="n"/>
      <c r="C33" s="7" t="n"/>
      <c r="D33" s="7" t="n"/>
      <c r="E33" s="8" t="n"/>
    </row>
    <row r="34">
      <c r="A34" s="10" t="inlineStr">
        <is>
          <t>普通 0000000</t>
        </is>
      </c>
      <c r="B34" s="7" t="n"/>
      <c r="C34" s="7" t="n"/>
      <c r="D34" s="7" t="n"/>
      <c r="E34" s="8" t="n"/>
    </row>
    <row r="35">
      <c r="A35" s="10" t="inlineStr">
        <is>
          <t>口座名義：〇〇〇〇（カ）</t>
        </is>
      </c>
      <c r="B35" s="7" t="n"/>
      <c r="C35" s="7" t="n"/>
      <c r="D35" s="7" t="n"/>
      <c r="E35" s="8" t="n"/>
    </row>
    <row r="37">
      <c r="A37" s="3" t="inlineStr">
        <is>
          <t>備考</t>
        </is>
      </c>
    </row>
    <row r="38">
      <c r="A38" s="27" t="inlineStr">
        <is>
          <t>※ インボイス制度の経過措置（80%控除）に基づき、消費税10%ではなく調整額8%で計上しています。
※ 交通費（実費）および事務所までの交通費の金額は記入欄（黄色）にご入力ください。
※ 源泉徴収が必要な場合は「源泉徴収税額」欄に金額を入力すると合計から差し引かれます。
※ ご提出：毎月5日までにメール（To: ayakaozasa@soren.co.jp / CC: ayakaanzo@soren.co.jp）</t>
        </is>
      </c>
      <c r="B38" s="28" t="n"/>
      <c r="C38" s="28" t="n"/>
      <c r="D38" s="28" t="n"/>
      <c r="E38" s="29" t="n"/>
    </row>
    <row r="39">
      <c r="A39" s="30" t="n"/>
      <c r="E39" s="31" t="n"/>
    </row>
    <row r="40">
      <c r="A40" s="32" t="n"/>
      <c r="B40" s="33" t="n"/>
      <c r="C40" s="33" t="n"/>
      <c r="D40" s="33" t="n"/>
      <c r="E40" s="34" t="n"/>
    </row>
  </sheetData>
  <mergeCells count="19">
    <mergeCell ref="A34:E34"/>
    <mergeCell ref="C30:D30"/>
    <mergeCell ref="A15:E15"/>
    <mergeCell ref="C26:D26"/>
    <mergeCell ref="A2:F2"/>
    <mergeCell ref="C29:D29"/>
    <mergeCell ref="A5:C5"/>
    <mergeCell ref="A12:E12"/>
    <mergeCell ref="C27:D27"/>
    <mergeCell ref="A33:E33"/>
    <mergeCell ref="A9:C9"/>
    <mergeCell ref="A14:E14"/>
    <mergeCell ref="D9:E9"/>
    <mergeCell ref="A35:E35"/>
    <mergeCell ref="A1:F1"/>
    <mergeCell ref="A38:E40"/>
    <mergeCell ref="C28:D28"/>
    <mergeCell ref="A13:E13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2026-08-05T10:31:12Z</dcterms:created>
  <dcterms:modified xsi:type="dcterms:W3CDTF">2026-08-11T03:27:29Z</dcterms:modified>
</cp:coreProperties>
</file>